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Feuil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<sst xmlns="http://schemas.openxmlformats.org/spreadsheetml/2006/main" count="29" uniqueCount="29">
  <si>
    <t xml:space="preserve">Canal</t>
  </si>
  <si>
    <t xml:space="preserve">Impressions</t>
  </si>
  <si>
    <t xml:space="preserve">Clics</t>
  </si>
  <si>
    <t xml:space="preserve">Conversions</t>
  </si>
  <si>
    <t xml:space="preserve">Coût (€)</t>
  </si>
  <si>
    <t xml:space="preserve">Revenu (€)</t>
  </si>
  <si>
    <t xml:space="preserve">CTR (%)</t>
  </si>
  <si>
    <t xml:space="preserve">CPC (€)</t>
  </si>
  <si>
    <t xml:space="preserve">CPA (€)</t>
  </si>
  <si>
    <t xml:space="preserve">ROI (%)</t>
  </si>
  <si>
    <t xml:space="preserve">Instagram Ads</t>
  </si>
  <si>
    <t xml:space="preserve">Google Ads</t>
  </si>
  <si>
    <t xml:space="preserve">Email Marketing</t>
  </si>
  <si>
    <t xml:space="preserve">Facebook Ads</t>
  </si>
  <si>
    <t xml:space="preserve">LinkedIn Ads</t>
  </si>
  <si>
    <t xml:space="preserve">Instructions: Calculez CTR, CPC, CPA et ROI avec des formules Excel.</t>
  </si>
  <si>
    <t xml:space="preserve">RAPPEL DES FORMULES</t>
  </si>
  <si>
    <t xml:space="preserve">CTR (Click Through Rate)</t>
  </si>
  <si>
    <t xml:space="preserve">Clics / Impressions × 100</t>
  </si>
  <si>
    <t xml:space="preserve">Mesure le % d'utilisateurs qui ont cliqué après avoir vu l'annonce</t>
  </si>
  <si>
    <t xml:space="preserve">CPC (Cost Per Click)</t>
  </si>
  <si>
    <t xml:space="preserve">Coût total / Nombre de clics</t>
  </si>
  <si>
    <t xml:space="preserve">Coût moyen payé pour chaque clic</t>
  </si>
  <si>
    <t xml:space="preserve">CPA (Cost Per Acquisition)</t>
  </si>
  <si>
    <t xml:space="preserve">Coût total / Conversions</t>
  </si>
  <si>
    <t xml:space="preserve">Coût moyen pour obtenir une conversion (achat, inscription...)</t>
  </si>
  <si>
    <t xml:space="preserve">ROI (Return On Investment)</t>
  </si>
  <si>
    <t xml:space="preserve">(Revenu − Coût) / Coût × 100</t>
  </si>
  <si>
    <t xml:space="preserve">Rentabilité en % — un ROI &gt; 100% = plus gagné que dépensé</t>
  </si>
</sst>
</file>

<file path=xl/styles.xml><?xml version="1.0" encoding="utf-8"?>
<styleSheet xmlns="http://schemas.openxmlformats.org/spreadsheetml/2006/main">
  <numFmts count="1">
    <numFmt numFmtId="164" formatCode="General"/>
  </numFmts>
  <fonts count="10">
    <font>
      <sz val="11"/>
      <color rgb="FF000000"/>
      <name val="Calibri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0"/>
    </font>
    <font>
      <b val="true"/>
      <sz val="11"/>
      <color rgb="FF000000"/>
      <name val="Calibri"/>
      <family val="0"/>
      <charset val="1"/>
    </font>
    <font>
      <b val="true"/>
      <sz val="10"/>
      <color rgb="FF000000"/>
      <name val="Calibri"/>
      <family val="0"/>
      <charset val="1"/>
    </font>
    <font>
      <sz val="10"/>
      <color rgb="FF1D4ED8"/>
      <name val="Courier New"/>
      <family val="0"/>
      <charset val="1"/>
    </font>
    <font>
      <i val="true"/>
      <sz val="10"/>
      <color rgb="FF444444"/>
      <name val="Calibri"/>
      <family val="0"/>
      <charset val="1"/>
    </font>
    <font>
      <b val="true"/>
      <sz val="11"/>
      <color rgb="FF8B3A5A"/>
      <name val="Calibri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2F2F2"/>
        <bgColor rgb="FFEEF4FB"/>
      </patternFill>
    </fill>
    <fill>
      <patternFill patternType="solid">
        <fgColor rgb="FFEEF4FB"/>
        <bgColor rgb="FFF2F2F2"/>
      </patternFill>
    </fill>
    <fill>
      <patternFill patternType="solid">
        <fgColor rgb="FFFFFFFF"/>
        <bgColor rgb="FFFDF9FB"/>
      </patternFill>
    </fill>
    <fill>
      <patternFill patternType="solid">
        <fgColor rgb="FFFDF9FB"/>
        <bgColor rgb="FFFFFFFF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 diagonalUp="false" diagonalDown="false">
      <left style="thin">
        <color rgb="FFCCCCCC"/>
      </left>
      <right/>
      <top style="thin">
        <color rgb="FFCCCCCC"/>
      </top>
      <bottom style="thin">
        <color rgb="FFCCCCCC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4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5" shrinkToFit="false"/>
      <protection locked="true" hidden="false"/>
    </xf>
    <xf numFmtId="164" fontId="5" fillId="2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6" fillId="3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7" fillId="4" borderId="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8" fillId="3" borderId="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6" fillId="5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8" fillId="5" borderId="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9" fillId="6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8B3A5A"/>
      <rgbColor rgb="FFFDF9FB"/>
      <rgbColor rgb="FFEEF4FB"/>
      <rgbColor rgb="FF660066"/>
      <rgbColor rgb="FFFF8080"/>
      <rgbColor rgb="FF1D4ED8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444444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9" activeCellId="0" sqref="9:9"/>
    </sheetView>
  </sheetViews>
  <sheetFormatPr defaultColWidth="10.8125" defaultRowHeight="15" customHeight="false" zeroHeight="false" outlineLevelRow="0" outlineLevelCol="0"/>
  <cols>
    <col collapsed="false" customWidth="true" hidden="false" outlineLevel="0" max="1" min="1" style="1" width="13.84"/>
    <col collapsed="false" customWidth="false" hidden="false" outlineLevel="0" max="2" min="2" style="1" width="10.81"/>
    <col collapsed="false" customWidth="true" hidden="false" outlineLevel="0" max="3" min="3" style="1" width="12.22"/>
    <col collapsed="false" customWidth="false" hidden="false" outlineLevel="0" max="5" min="4" style="1" width="10.81"/>
    <col collapsed="false" customWidth="true" hidden="false" outlineLevel="0" max="6" min="6" style="1" width="16.76"/>
    <col collapsed="false" customWidth="false" hidden="false" outlineLevel="0" max="9" min="7" style="1" width="10.81"/>
    <col collapsed="false" customWidth="true" hidden="false" outlineLevel="0" max="10" min="10" style="1" width="13.79"/>
    <col collapsed="false" customWidth="false" hidden="false" outlineLevel="0" max="16384" min="11" style="1" width="10.81"/>
  </cols>
  <sheetData>
    <row r="1" customFormat="false" ht="13.8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customFormat="false" ht="13.8" hidden="false" customHeight="false" outlineLevel="0" collapsed="false">
      <c r="A2" s="1" t="s">
        <v>10</v>
      </c>
      <c r="B2" s="1" t="n">
        <v>400000</v>
      </c>
      <c r="C2" s="1" t="n">
        <v>16000</v>
      </c>
      <c r="D2" s="1" t="n">
        <v>800</v>
      </c>
      <c r="E2" s="1" t="n">
        <v>8000</v>
      </c>
      <c r="F2" s="1" t="n">
        <v>32000</v>
      </c>
      <c r="G2" s="1" t="n">
        <f aca="false">(C2/B2)*100</f>
        <v>4</v>
      </c>
      <c r="H2" s="3" t="n">
        <f aca="false">E2/C2</f>
        <v>0.5</v>
      </c>
      <c r="I2" s="1" t="n">
        <f aca="false">E2/D2</f>
        <v>10</v>
      </c>
      <c r="J2" s="1" t="n">
        <f aca="false">(F2-E2)/E2*100</f>
        <v>300</v>
      </c>
    </row>
    <row r="3" customFormat="false" ht="13.8" hidden="false" customHeight="false" outlineLevel="0" collapsed="false">
      <c r="A3" s="1" t="s">
        <v>11</v>
      </c>
      <c r="B3" s="1" t="n">
        <v>200000</v>
      </c>
      <c r="C3" s="1" t="n">
        <v>12000</v>
      </c>
      <c r="D3" s="1" t="n">
        <v>1000</v>
      </c>
      <c r="E3" s="1" t="n">
        <v>12000</v>
      </c>
      <c r="F3" s="1" t="n">
        <v>50000</v>
      </c>
      <c r="G3" s="1" t="n">
        <f aca="false">(C3/B3)*100</f>
        <v>6</v>
      </c>
      <c r="H3" s="3" t="n">
        <f aca="false">E3/C3</f>
        <v>1</v>
      </c>
      <c r="I3" s="1" t="n">
        <f aca="false">E3/D3</f>
        <v>12</v>
      </c>
      <c r="J3" s="4" t="n">
        <f aca="false">(F3-E3)/E3*100</f>
        <v>316.666666666667</v>
      </c>
    </row>
    <row r="4" customFormat="false" ht="13.8" hidden="false" customHeight="false" outlineLevel="0" collapsed="false">
      <c r="A4" s="1" t="s">
        <v>12</v>
      </c>
      <c r="B4" s="1" t="n">
        <v>60000</v>
      </c>
      <c r="C4" s="1" t="n">
        <v>9000</v>
      </c>
      <c r="D4" s="1" t="n">
        <v>1500</v>
      </c>
      <c r="E4" s="1" t="n">
        <v>3000</v>
      </c>
      <c r="F4" s="1" t="n">
        <v>45000</v>
      </c>
      <c r="G4" s="1" t="n">
        <f aca="false">(C4/B4)*100</f>
        <v>15</v>
      </c>
      <c r="H4" s="4" t="n">
        <f aca="false">E4/C4</f>
        <v>0.333333333333333</v>
      </c>
      <c r="I4" s="1" t="n">
        <f aca="false">E4/D4</f>
        <v>2</v>
      </c>
      <c r="J4" s="1" t="n">
        <f aca="false">(F4-E4)/E4*100</f>
        <v>1400</v>
      </c>
    </row>
    <row r="5" customFormat="false" ht="13.8" hidden="false" customHeight="false" outlineLevel="0" collapsed="false">
      <c r="A5" s="1" t="s">
        <v>13</v>
      </c>
      <c r="B5" s="1" t="n">
        <v>50000</v>
      </c>
      <c r="C5" s="1" t="n">
        <v>2500</v>
      </c>
      <c r="D5" s="1" t="n">
        <v>150</v>
      </c>
      <c r="E5" s="1" t="n">
        <v>1200</v>
      </c>
      <c r="F5" s="1" t="n">
        <v>4500</v>
      </c>
      <c r="G5" s="1" t="n">
        <f aca="false">(C5/B5)*100</f>
        <v>5</v>
      </c>
      <c r="H5" s="3" t="n">
        <f aca="false">E5/C5</f>
        <v>0.48</v>
      </c>
      <c r="I5" s="1" t="n">
        <f aca="false">E5/D5</f>
        <v>8</v>
      </c>
      <c r="J5" s="1" t="n">
        <f aca="false">(F5-E5)/E5*100</f>
        <v>275</v>
      </c>
    </row>
    <row r="6" customFormat="false" ht="13.8" hidden="false" customHeight="false" outlineLevel="0" collapsed="false">
      <c r="A6" s="1" t="s">
        <v>14</v>
      </c>
      <c r="B6" s="1" t="n">
        <v>20000</v>
      </c>
      <c r="C6" s="1" t="n">
        <v>900</v>
      </c>
      <c r="D6" s="1" t="n">
        <v>60</v>
      </c>
      <c r="E6" s="1" t="n">
        <v>1100</v>
      </c>
      <c r="F6" s="1" t="n">
        <v>2500</v>
      </c>
      <c r="G6" s="1" t="n">
        <f aca="false">(C6/B6)*100</f>
        <v>4.5</v>
      </c>
      <c r="H6" s="4" t="n">
        <f aca="false">E6/C6</f>
        <v>1.22222222222222</v>
      </c>
      <c r="I6" s="3" t="n">
        <f aca="false">E6/D6</f>
        <v>18.3333333333333</v>
      </c>
      <c r="J6" s="4" t="n">
        <f aca="false">(F6-E6)/E6*100</f>
        <v>127.272727272727</v>
      </c>
    </row>
    <row r="7" customFormat="false" ht="13.8" hidden="false" customHeight="false" outlineLevel="0" collapsed="false"/>
    <row r="8" customFormat="false" ht="13.8" hidden="false" customHeight="false" outlineLevel="0" collapsed="false">
      <c r="A8" s="2" t="s">
        <v>15</v>
      </c>
    </row>
    <row r="9" customFormat="false" ht="13.8" hidden="false" customHeight="false" outlineLevel="0" collapsed="false">
      <c r="A9" s="2"/>
    </row>
    <row r="10" customFormat="false" ht="13.8" hidden="false" customHeight="true" outlineLevel="0" collapsed="false">
      <c r="A10" s="5" t="s">
        <v>16</v>
      </c>
      <c r="B10" s="5"/>
      <c r="C10" s="5"/>
      <c r="D10" s="5"/>
      <c r="E10" s="5"/>
      <c r="F10" s="5"/>
      <c r="G10" s="5"/>
      <c r="H10" s="5"/>
      <c r="I10" s="5"/>
      <c r="J10" s="5"/>
      <c r="K10" s="0"/>
      <c r="L10" s="0"/>
    </row>
    <row r="11" customFormat="false" ht="22" hidden="false" customHeight="true" outlineLevel="0" collapsed="false">
      <c r="A11" s="6" t="s">
        <v>17</v>
      </c>
      <c r="B11" s="7" t="s">
        <v>18</v>
      </c>
      <c r="C11" s="7"/>
      <c r="D11" s="7"/>
      <c r="E11" s="8" t="s">
        <v>19</v>
      </c>
      <c r="F11" s="8"/>
      <c r="G11" s="8"/>
      <c r="H11" s="8"/>
      <c r="I11" s="8"/>
      <c r="J11" s="8"/>
      <c r="K11" s="0"/>
      <c r="L11" s="0"/>
    </row>
    <row r="12" customFormat="false" ht="22" hidden="false" customHeight="true" outlineLevel="0" collapsed="false">
      <c r="A12" s="9" t="s">
        <v>20</v>
      </c>
      <c r="B12" s="7" t="s">
        <v>21</v>
      </c>
      <c r="C12" s="7"/>
      <c r="D12" s="7"/>
      <c r="E12" s="10" t="s">
        <v>22</v>
      </c>
      <c r="F12" s="10"/>
      <c r="G12" s="10"/>
      <c r="H12" s="10"/>
      <c r="I12" s="10"/>
      <c r="J12" s="10"/>
      <c r="K12" s="0"/>
      <c r="L12" s="0"/>
    </row>
    <row r="13" customFormat="false" ht="22" hidden="false" customHeight="true" outlineLevel="0" collapsed="false">
      <c r="A13" s="6" t="s">
        <v>23</v>
      </c>
      <c r="B13" s="7" t="s">
        <v>24</v>
      </c>
      <c r="C13" s="7"/>
      <c r="D13" s="7"/>
      <c r="E13" s="8" t="s">
        <v>25</v>
      </c>
      <c r="F13" s="8"/>
      <c r="G13" s="8"/>
      <c r="H13" s="8"/>
      <c r="I13" s="8"/>
      <c r="J13" s="8"/>
      <c r="K13" s="0"/>
      <c r="L13" s="0"/>
    </row>
    <row r="14" customFormat="false" ht="22" hidden="false" customHeight="true" outlineLevel="0" collapsed="false">
      <c r="A14" s="9" t="s">
        <v>26</v>
      </c>
      <c r="B14" s="7" t="s">
        <v>27</v>
      </c>
      <c r="C14" s="7"/>
      <c r="D14" s="7"/>
      <c r="E14" s="10" t="s">
        <v>28</v>
      </c>
      <c r="F14" s="10"/>
      <c r="G14" s="10"/>
      <c r="H14" s="10"/>
      <c r="I14" s="10"/>
      <c r="J14" s="10"/>
      <c r="K14" s="0"/>
      <c r="L14" s="0"/>
    </row>
    <row r="15" customFormat="false" ht="13.8" hidden="false" customHeight="false" outlineLevel="0" collapsed="false"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customFormat="false" ht="13.8" hidden="false" customHeight="false" outlineLevel="0" collapsed="false"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1">
    <mergeCell ref="A10:J10"/>
    <mergeCell ref="B11:D11"/>
    <mergeCell ref="E11:J11"/>
    <mergeCell ref="B12:D12"/>
    <mergeCell ref="E12:J12"/>
    <mergeCell ref="B13:D13"/>
    <mergeCell ref="E13:J13"/>
    <mergeCell ref="B14:D14"/>
    <mergeCell ref="E14:J14"/>
    <mergeCell ref="C15:L15"/>
    <mergeCell ref="C16:L16"/>
  </mergeCells>
  <printOptions headings="false" gridLines="false" gridLinesSet="true" horizontalCentered="false" verticalCentered="false"/>
  <pageMargins left="0.7" right="0.7" top="0.3" bottom="0.3" header="0.3" footer="0.3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true" differentOddEven="false">
    <oddHeader/>
    <oddFooter/>
    <firstHeader/>
    <first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116</TotalTime>
  <Application>LibreOffice/25.8.5.2$Windows_X86_64 LibreOffice_project/9c8b85f387cc00a89945a79c9e6239f32e450ac2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2026-03-13T10:58:40Z</dcterms:created>
  <dc:creator>Chergui Anis</dc:creator>
  <dc:description/>
  <dc:language>fr-FR</dc:language>
  <cp:lastModifiedBy/>
  <dcterms:modified xsi:type="dcterms:W3CDTF">2026-03-18T12:10:27Z</dcterms:modified>
  <cp:revision>11</cp:revision>
  <dc:subject/>
  <dc:title/>
</cp:coreProperties>
</file>